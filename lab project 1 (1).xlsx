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dor" sheetId="1" r:id="rId5"/>
    <sheet state="visible" name="Perfis" sheetId="2" r:id="rId6"/>
  </sheets>
  <definedNames/>
  <calcPr/>
</workbook>
</file>

<file path=xl/sharedStrings.xml><?xml version="1.0" encoding="utf-8"?>
<sst xmlns="http://schemas.openxmlformats.org/spreadsheetml/2006/main" count="86" uniqueCount="47">
  <si>
    <t>SIMULADOR DE FUNDOS IMOBILIÁRIOS</t>
  </si>
  <si>
    <t>Chave</t>
  </si>
  <si>
    <t>Perfil</t>
  </si>
  <si>
    <t>Tipo de FII</t>
  </si>
  <si>
    <t>Percentual</t>
  </si>
  <si>
    <t>Conservador-PAPEL</t>
  </si>
  <si>
    <t>CONFIGURAÇÕES</t>
  </si>
  <si>
    <t>Conservador</t>
  </si>
  <si>
    <t>PAPEL</t>
  </si>
  <si>
    <t>Salário mensal (R$)</t>
  </si>
  <si>
    <t>Soma</t>
  </si>
  <si>
    <t>Conservador-TIJOLO</t>
  </si>
  <si>
    <t>TIJOLO</t>
  </si>
  <si>
    <t>Rendimento de dividendos mensal</t>
  </si>
  <si>
    <t>Sugestão de aporte (30%)</t>
  </si>
  <si>
    <t>Conservador-HÍBRIDOS</t>
  </si>
  <si>
    <t>HÍBRIDOS</t>
  </si>
  <si>
    <t>SIMULAÇÃO</t>
  </si>
  <si>
    <t>Moderado</t>
  </si>
  <si>
    <t>Aporte mensal (R$)</t>
  </si>
  <si>
    <t>Conservador-FOFs</t>
  </si>
  <si>
    <t>FOFs</t>
  </si>
  <si>
    <t>Prazo de investimento (anos)</t>
  </si>
  <si>
    <t>Agressivo</t>
  </si>
  <si>
    <t>Rendimento mensal da aplicação</t>
  </si>
  <si>
    <t>Conservador-DESENVOLVIMENTO</t>
  </si>
  <si>
    <t>DESENVOLVIMENTO</t>
  </si>
  <si>
    <t>Patrimônio acumulado (R$)</t>
  </si>
  <si>
    <t>Conservador-HOTELARIAS</t>
  </si>
  <si>
    <t>HOTELARIAS</t>
  </si>
  <si>
    <t>Moderado-PAPEL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</si>
  <si>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</si>
  <si>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</si>
  <si>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</si>
  <si>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</si>
  <si>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</si>
  <si>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</si>
  <si>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</si>
  <si>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</si>
  <si>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</si>
  <si>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</si>
  <si>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</si>
  <si>
    <t>Dividendos mensais (R$)</t>
  </si>
  <si>
    <t>Prazo (anos)</t>
  </si>
  <si>
    <t>DISTRIBUIÇÃO DO APORTE POR PERFIL</t>
  </si>
  <si>
    <t>Perfil escolhido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</si>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</sst>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 #,##0.00;[Red](&quot;R$&quot; #,##0.00);-"/>
  </numFmts>
  <fonts count="9">
    <font>
      <sz val="11.0"/>
      <color rgb="FF000000"/>
      <name val="Carlito"/>
      <scheme val="minor"/>
    </font>
    <font>
      <b/>
      <sz val="11.0"/>
      <color rgb="FF000000"/>
      <name val="Carlito"/>
    </font>
    <font>
      <b/>
      <sz val="15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color rgb="FF000000"/>
      <name val="Carlito"/>
      <scheme val="minor"/>
    </font>
    <font>
      <sz val="11.0"/>
      <color rgb="FF000000"/>
      <name val="Carlito"/>
    </font>
    <font>
      <b/>
      <sz val="11.0"/>
      <color theme="1"/>
      <name val="Carlito"/>
    </font>
    <font>
      <sz val="11.0"/>
      <color rgb="FF666666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243447"/>
        <bgColor rgb="FF24344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0" fontId="3" numFmtId="0" xfId="0" applyFont="1"/>
    <xf borderId="0" fillId="0" fontId="4" numFmtId="9" xfId="0" applyFont="1" applyNumberFormat="1"/>
    <xf borderId="0" fillId="0" fontId="5" numFmtId="0" xfId="0" applyFont="1"/>
    <xf borderId="0" fillId="0" fontId="6" numFmtId="164" xfId="0" applyFont="1" applyNumberFormat="1"/>
    <xf borderId="0" fillId="4" fontId="6" numFmtId="10" xfId="0" applyFill="1" applyFont="1" applyNumberFormat="1"/>
    <xf borderId="0" fillId="4" fontId="6" numFmtId="164" xfId="0" applyFill="1" applyFont="1" applyNumberFormat="1"/>
    <xf borderId="0" fillId="4" fontId="6" numFmtId="0" xfId="0" applyFill="1" applyFont="1"/>
    <xf borderId="0" fillId="0" fontId="4" numFmtId="164" xfId="0" applyFont="1" applyNumberFormat="1"/>
    <xf borderId="0" fillId="4" fontId="7" numFmtId="0" xfId="0" applyFill="1" applyFont="1"/>
    <xf borderId="0" fillId="4" fontId="7" numFmtId="9" xfId="0" applyFill="1" applyFont="1" applyNumberFormat="1"/>
    <xf borderId="0" fillId="4" fontId="7" numFmtId="164" xfId="0" applyFill="1" applyFont="1" applyNumberForma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34.0"/>
    <col customWidth="1" min="3" max="3" width="20.0"/>
    <col customWidth="1" min="4" max="4" width="25.0"/>
    <col customWidth="1" min="5" max="26" width="8.63"/>
  </cols>
  <sheetData>
    <row r="2" ht="33.75" customHeight="1">
      <c r="B2" s="2" t="s">
        <v>0</v>
      </c>
    </row>
    <row r="4" ht="24.0" customHeight="1">
      <c r="B4" s="1" t="s">
        <v>6</v>
      </c>
    </row>
    <row r="5">
      <c r="B5" s="5" t="s">
        <v>9</v>
      </c>
      <c r="C5" s="5"/>
      <c r="D5" s="6">
        <v>2500.0</v>
      </c>
    </row>
    <row r="6">
      <c r="B6" s="5" t="s">
        <v>13</v>
      </c>
      <c r="C6" s="5"/>
      <c r="D6" s="7">
        <v>0.006</v>
      </c>
    </row>
    <row r="7">
      <c r="B7" s="5" t="s">
        <v>14</v>
      </c>
      <c r="C7" s="5"/>
      <c r="D7" s="6">
        <f>D5*30%</f>
        <v>750</v>
      </c>
    </row>
    <row r="8" ht="24.0" customHeight="1">
      <c r="B8" s="1" t="s">
        <v>17</v>
      </c>
    </row>
    <row r="9">
      <c r="B9" s="5" t="s">
        <v>19</v>
      </c>
      <c r="C9" s="5"/>
      <c r="D9" s="8">
        <v>200.0</v>
      </c>
    </row>
    <row r="10">
      <c r="B10" s="5" t="s">
        <v>22</v>
      </c>
      <c r="C10" s="5"/>
      <c r="D10" s="9">
        <v>5.0</v>
      </c>
    </row>
    <row r="11">
      <c r="B11" s="5" t="s">
        <v>24</v>
      </c>
      <c r="C11" s="5"/>
      <c r="D11" s="7">
        <v>0.01079</v>
      </c>
    </row>
    <row r="12">
      <c r="B12" s="5" t="s">
        <v>27</v>
      </c>
      <c r="C12" s="5"/>
      <c r="D12" s="6">
        <f>FV(D11,D10*12,-D9)</f>
        <v>16755.3828</v>
      </c>
    </row>
    <row r="13">
      <c r="B13" s="3" t="s">
        <v>42</v>
      </c>
      <c r="D13" s="10">
        <f>D12*D6</f>
        <v>100.5322968</v>
      </c>
    </row>
    <row r="14" ht="24.0" customHeight="1">
      <c r="B14" s="1" t="s">
        <v>43</v>
      </c>
    </row>
    <row r="15">
      <c r="B15" s="3">
        <v>2.0</v>
      </c>
      <c r="C15" s="10">
        <f t="shared" ref="C15:C19" si="1">FV($D$11,B15*12,-$D$9)</f>
        <v>5445.52546</v>
      </c>
      <c r="D15" s="10">
        <f t="shared" ref="D15:D19" si="2">C15*$D$6</f>
        <v>32.67315276</v>
      </c>
    </row>
    <row r="16">
      <c r="B16" s="3">
        <v>5.0</v>
      </c>
      <c r="C16" s="10">
        <f t="shared" si="1"/>
        <v>16755.3828</v>
      </c>
      <c r="D16" s="10">
        <f t="shared" si="2"/>
        <v>100.5322968</v>
      </c>
    </row>
    <row r="17">
      <c r="B17" s="3">
        <v>10.0</v>
      </c>
      <c r="C17" s="10">
        <f t="shared" si="1"/>
        <v>48656.84251</v>
      </c>
      <c r="D17" s="10">
        <f t="shared" si="2"/>
        <v>291.941055</v>
      </c>
    </row>
    <row r="18" ht="15.75" customHeight="1">
      <c r="B18" s="3">
        <v>20.0</v>
      </c>
      <c r="C18" s="10">
        <f t="shared" si="1"/>
        <v>225039.68</v>
      </c>
      <c r="D18" s="10">
        <f t="shared" si="2"/>
        <v>1350.23808</v>
      </c>
    </row>
    <row r="19" ht="15.75" customHeight="1">
      <c r="B19" s="3">
        <v>30.0</v>
      </c>
      <c r="C19" s="10">
        <f t="shared" si="1"/>
        <v>864433.931</v>
      </c>
      <c r="D19" s="10">
        <f t="shared" si="2"/>
        <v>5186.603586</v>
      </c>
    </row>
    <row r="20" ht="24.0" customHeight="1">
      <c r="B20" s="1" t="s">
        <v>44</v>
      </c>
    </row>
    <row r="21" ht="24.75" customHeight="1">
      <c r="B21" s="3" t="s">
        <v>45</v>
      </c>
      <c r="D21" s="3" t="s">
        <v>18</v>
      </c>
    </row>
    <row r="22" ht="24.0" customHeight="1">
      <c r="B22" s="1" t="s">
        <v>3</v>
      </c>
    </row>
    <row r="23" ht="15.75" customHeight="1">
      <c r="B23" s="3" t="s">
        <v>8</v>
      </c>
      <c r="C23" s="4">
        <f>VLOOKUP($D$21&amp;"-"&amp;B23,Perfis!$A$2:$D$19,4,FALSE)</f>
        <v>0.32</v>
      </c>
      <c r="D23" s="10">
        <f t="shared" ref="D23:D28" si="3">C23*$D$9</f>
        <v>64</v>
      </c>
    </row>
    <row r="24" ht="15.75" customHeight="1">
      <c r="B24" s="3" t="s">
        <v>12</v>
      </c>
      <c r="C24" s="4">
        <f>VLOOKUP($D$21&amp;"-"&amp;B24,Perfis!$A$2:$D$19,4,FALSE)</f>
        <v>0.35</v>
      </c>
      <c r="D24" s="10">
        <f t="shared" si="3"/>
        <v>70</v>
      </c>
    </row>
    <row r="25" ht="15.75" customHeight="1">
      <c r="B25" s="3" t="s">
        <v>16</v>
      </c>
      <c r="C25" s="4">
        <f>VLOOKUP($D$21&amp;"-"&amp;B25,Perfis!$A$2:$D$19,4,FALSE)</f>
        <v>0.08</v>
      </c>
      <c r="D25" s="10">
        <f t="shared" si="3"/>
        <v>16</v>
      </c>
    </row>
    <row r="26" ht="15.75" customHeight="1">
      <c r="B26" s="3" t="s">
        <v>21</v>
      </c>
      <c r="C26" s="4">
        <f>VLOOKUP($D$21&amp;"-"&amp;B26,Perfis!$A$2:$D$19,4,FALSE)</f>
        <v>0.05</v>
      </c>
      <c r="D26" s="10">
        <f t="shared" si="3"/>
        <v>10</v>
      </c>
    </row>
    <row r="27" ht="15.75" customHeight="1">
      <c r="B27" s="3" t="s">
        <v>26</v>
      </c>
      <c r="C27" s="4">
        <f>VLOOKUP($D$21&amp;"-"&amp;B27,Perfis!$A$2:$D$19,4,FALSE)</f>
        <v>0.1</v>
      </c>
      <c r="D27" s="10">
        <f t="shared" si="3"/>
        <v>20</v>
      </c>
    </row>
    <row r="28" ht="15.75" customHeight="1">
      <c r="B28" s="3" t="s">
        <v>29</v>
      </c>
      <c r="C28" s="4">
        <f>VLOOKUP($D$21&amp;"-"&amp;B28,Perfis!$A$2:$D$19,4,FALSE)</f>
        <v>0.1</v>
      </c>
      <c r="D28" s="10">
        <f t="shared" si="3"/>
        <v>20</v>
      </c>
    </row>
    <row r="29" ht="15.75" customHeight="1">
      <c r="B29" s="11" t="s">
        <v>46</v>
      </c>
      <c r="C29" s="12">
        <f t="shared" ref="C29:D29" si="4">SUM(C23:C28)</f>
        <v>1</v>
      </c>
      <c r="D29" s="13">
        <f t="shared" si="4"/>
        <v>200</v>
      </c>
    </row>
    <row r="30" ht="15.75" customHeight="1"/>
    <row r="31" ht="15.75" customHeight="1">
      <c r="B31" s="1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7">
    <mergeCell ref="B2:D2"/>
    <mergeCell ref="B4:D4"/>
    <mergeCell ref="B8:D8"/>
    <mergeCell ref="B20:D20"/>
    <mergeCell ref="B31:D31"/>
    <mergeCell ref="B14:D14"/>
    <mergeCell ref="B22:D22"/>
  </mergeCells>
  <dataValidations>
    <dataValidation type="list" allowBlank="1" sqref="D21">
      <formula1>"Conservador,Moderado,Agressivo"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23.0"/>
    <col customWidth="1" min="4" max="4" width="17.0"/>
    <col customWidth="1" min="5" max="5" width="8.63"/>
    <col customWidth="1" min="6" max="6" width="20.0"/>
    <col customWidth="1" min="7" max="7" width="15.0"/>
    <col customWidth="1" min="8" max="26" width="8.63"/>
  </cols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3" t="s">
        <v>5</v>
      </c>
      <c r="B2" s="3" t="s">
        <v>7</v>
      </c>
      <c r="C2" s="3" t="s">
        <v>8</v>
      </c>
      <c r="D2" s="4">
        <v>0.3</v>
      </c>
      <c r="F2" s="1" t="s">
        <v>2</v>
      </c>
      <c r="G2" s="1" t="s">
        <v>10</v>
      </c>
    </row>
    <row r="3">
      <c r="A3" s="3" t="s">
        <v>11</v>
      </c>
      <c r="B3" s="3" t="s">
        <v>7</v>
      </c>
      <c r="C3" s="3" t="s">
        <v>12</v>
      </c>
      <c r="D3" s="4">
        <v>0.5</v>
      </c>
      <c r="F3" s="3" t="s">
        <v>7</v>
      </c>
      <c r="G3" s="4">
        <f t="shared" ref="G3:G5" si="1">SUMIF(B$2:B$19,F3,D$2:D$19)</f>
        <v>1</v>
      </c>
    </row>
    <row r="4">
      <c r="A4" s="3" t="s">
        <v>15</v>
      </c>
      <c r="B4" s="3" t="s">
        <v>7</v>
      </c>
      <c r="C4" s="3" t="s">
        <v>16</v>
      </c>
      <c r="D4" s="4">
        <v>0.1</v>
      </c>
      <c r="F4" s="3" t="s">
        <v>18</v>
      </c>
      <c r="G4" s="4">
        <f t="shared" si="1"/>
        <v>1</v>
      </c>
    </row>
    <row r="5">
      <c r="A5" s="3" t="s">
        <v>20</v>
      </c>
      <c r="B5" s="3" t="s">
        <v>7</v>
      </c>
      <c r="C5" s="3" t="s">
        <v>21</v>
      </c>
      <c r="D5" s="4">
        <v>0.1</v>
      </c>
      <c r="F5" s="3" t="s">
        <v>23</v>
      </c>
      <c r="G5" s="4">
        <f t="shared" si="1"/>
        <v>1</v>
      </c>
    </row>
    <row r="6">
      <c r="A6" s="3" t="s">
        <v>25</v>
      </c>
      <c r="B6" s="3" t="s">
        <v>7</v>
      </c>
      <c r="C6" s="3" t="s">
        <v>26</v>
      </c>
      <c r="D6" s="4">
        <v>0.0</v>
      </c>
    </row>
    <row r="7">
      <c r="A7" s="3" t="s">
        <v>28</v>
      </c>
      <c r="B7" s="3" t="s">
        <v>7</v>
      </c>
      <c r="C7" s="3" t="s">
        <v>29</v>
      </c>
      <c r="D7" s="4">
        <v>0.0</v>
      </c>
    </row>
    <row r="8">
      <c r="A8" s="3" t="s">
        <v>30</v>
      </c>
      <c r="B8" s="3" t="s">
        <v>18</v>
      </c>
      <c r="C8" s="3" t="s">
        <v>8</v>
      </c>
      <c r="D8" s="4">
        <v>0.32</v>
      </c>
    </row>
    <row r="9">
      <c r="A9" s="3" t="s">
        <v>31</v>
      </c>
      <c r="B9" s="3" t="s">
        <v>18</v>
      </c>
      <c r="C9" s="3" t="s">
        <v>12</v>
      </c>
      <c r="D9" s="4">
        <v>0.35</v>
      </c>
    </row>
    <row r="10">
      <c r="A10" s="3" t="s">
        <v>32</v>
      </c>
      <c r="B10" s="3" t="s">
        <v>18</v>
      </c>
      <c r="C10" s="3" t="s">
        <v>16</v>
      </c>
      <c r="D10" s="4">
        <v>0.08</v>
      </c>
    </row>
    <row r="11">
      <c r="A11" s="3" t="s">
        <v>33</v>
      </c>
      <c r="B11" s="3" t="s">
        <v>18</v>
      </c>
      <c r="C11" s="3" t="s">
        <v>21</v>
      </c>
      <c r="D11" s="4">
        <v>0.05</v>
      </c>
    </row>
    <row r="12">
      <c r="A12" s="3" t="s">
        <v>34</v>
      </c>
      <c r="B12" s="3" t="s">
        <v>18</v>
      </c>
      <c r="C12" s="3" t="s">
        <v>26</v>
      </c>
      <c r="D12" s="4">
        <v>0.1</v>
      </c>
    </row>
    <row r="13">
      <c r="A13" s="3" t="s">
        <v>35</v>
      </c>
      <c r="B13" s="3" t="s">
        <v>18</v>
      </c>
      <c r="C13" s="3" t="s">
        <v>29</v>
      </c>
      <c r="D13" s="4">
        <v>0.1</v>
      </c>
    </row>
    <row r="14">
      <c r="A14" s="3" t="s">
        <v>36</v>
      </c>
      <c r="B14" s="3" t="s">
        <v>23</v>
      </c>
      <c r="C14" s="3" t="s">
        <v>8</v>
      </c>
      <c r="D14" s="4">
        <v>0.5</v>
      </c>
    </row>
    <row r="15">
      <c r="A15" s="3" t="s">
        <v>37</v>
      </c>
      <c r="B15" s="3" t="s">
        <v>23</v>
      </c>
      <c r="C15" s="3" t="s">
        <v>12</v>
      </c>
      <c r="D15" s="4">
        <v>0.1</v>
      </c>
    </row>
    <row r="16">
      <c r="A16" s="3" t="s">
        <v>38</v>
      </c>
      <c r="B16" s="3" t="s">
        <v>23</v>
      </c>
      <c r="C16" s="3" t="s">
        <v>16</v>
      </c>
      <c r="D16" s="4">
        <v>0.05</v>
      </c>
    </row>
    <row r="17">
      <c r="A17" s="3" t="s">
        <v>39</v>
      </c>
      <c r="B17" s="3" t="s">
        <v>23</v>
      </c>
      <c r="C17" s="3" t="s">
        <v>21</v>
      </c>
      <c r="D17" s="4">
        <v>0.05</v>
      </c>
    </row>
    <row r="18">
      <c r="A18" s="3" t="s">
        <v>40</v>
      </c>
      <c r="B18" s="3" t="s">
        <v>23</v>
      </c>
      <c r="C18" s="3" t="s">
        <v>26</v>
      </c>
      <c r="D18" s="4">
        <v>0.2</v>
      </c>
    </row>
    <row r="19">
      <c r="A19" s="3" t="s">
        <v>41</v>
      </c>
      <c r="B19" s="3" t="s">
        <v>23</v>
      </c>
      <c r="C19" s="3" t="s">
        <v>29</v>
      </c>
      <c r="D19" s="4">
        <v>0.1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